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esults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<sst xmlns="http://schemas.openxmlformats.org/spreadsheetml/2006/main" count="121" uniqueCount="97">
  <si>
    <t xml:space="preserve">INPUT CHECK</t>
  </si>
  <si>
    <t xml:space="preserve">Parameter</t>
  </si>
  <si>
    <t xml:space="preserve">Classical Solver</t>
  </si>
  <si>
    <t xml:space="preserve">Plexos</t>
  </si>
  <si>
    <t xml:space="preserve">Match</t>
  </si>
  <si>
    <t xml:space="preserve">Notes</t>
  </si>
  <si>
    <t xml:space="preserve">SYSTEM SETUP</t>
  </si>
  <si>
    <t xml:space="preserve">Data center bus number</t>
  </si>
  <si>
    <r>
      <rPr>
        <strike val="true"/>
        <sz val="10"/>
        <color rgb="FF8B1A1A"/>
        <rFont val="Arial"/>
        <family val="2"/>
        <charset val="1"/>
      </rPr>
      <t xml:space="preserve">CRITICAL: Phase 2 used bus 1 </t>
    </r>
    <r>
      <rPr>
        <sz val="10"/>
        <color rgb="FF8B1A1A"/>
        <rFont val="Arial"/>
        <family val="2"/>
        <charset val="1"/>
      </rPr>
      <t xml:space="preserve">final analysis was bus 4 as well, Plexos used bus 4</t>
    </r>
  </si>
  <si>
    <t xml:space="preserve">Data center load (MW)</t>
  </si>
  <si>
    <t xml:space="preserve">200</t>
  </si>
  <si>
    <t xml:space="preserve">Time horizon (hours)</t>
  </si>
  <si>
    <t xml:space="preserve">Slack bus number</t>
  </si>
  <si>
    <t xml:space="preserve">None</t>
  </si>
  <si>
    <t xml:space="preserve">Plexos uses bus 1</t>
  </si>
  <si>
    <t xml:space="preserve">Line losses enabled?</t>
  </si>
  <si>
    <t xml:space="preserve">No</t>
  </si>
  <si>
    <t xml:space="preserve">GENERATORS  (one row each)</t>
  </si>
  <si>
    <t xml:space="preserve">Gen at bus 1: cost ($/MWh)</t>
  </si>
  <si>
    <t xml:space="preserve">20</t>
  </si>
  <si>
    <t xml:space="preserve">Gen at bus 2: cost ($/MWh)</t>
  </si>
  <si>
    <t xml:space="preserve">Gen at bus 3: cost ($/MWh)</t>
  </si>
  <si>
    <r>
      <rPr>
        <sz val="10"/>
        <color rgb="FF555555"/>
        <rFont val="Arial"/>
        <family val="2"/>
        <charset val="1"/>
      </rPr>
      <t xml:space="preserve">'20, </t>
    </r>
    <r>
      <rPr>
        <sz val="10"/>
        <color rgb="FFFF0000"/>
        <rFont val="Arial"/>
        <family val="2"/>
        <charset val="1"/>
      </rPr>
      <t xml:space="preserve">this should be 40</t>
    </r>
  </si>
  <si>
    <t xml:space="preserve">Gen at bus 6: cost ($/MWh)</t>
  </si>
  <si>
    <t xml:space="preserve">40</t>
  </si>
  <si>
    <t xml:space="preserve">Gen at bus 8: cost ($/MWh)</t>
  </si>
  <si>
    <t xml:space="preserve">Gen max capacities checked line by line?</t>
  </si>
  <si>
    <t xml:space="preserve">Compare all 5 offline, then mark Verified</t>
  </si>
  <si>
    <t xml:space="preserve">TRANSMISSION LIMITS</t>
  </si>
  <si>
    <t xml:space="preserve">Transformer 4-9 limit (MW)</t>
  </si>
  <si>
    <t xml:space="preserve">~40, key bottleneck</t>
  </si>
  <si>
    <t xml:space="preserve">Transformer 5-6 limit (MW)</t>
  </si>
  <si>
    <t xml:space="preserve">~80, key bottleneck</t>
  </si>
  <si>
    <t xml:space="preserve">Transformer 4-7 limit (MW)</t>
  </si>
  <si>
    <t xml:space="preserve">All 20 branch limits checked line by line?</t>
  </si>
  <si>
    <t xml:space="preserve">Compare full table offline, then mark Verified</t>
  </si>
  <si>
    <t xml:space="preserve">BATTERIES</t>
  </si>
  <si>
    <t xml:space="preserve">Number of batteries</t>
  </si>
  <si>
    <t xml:space="preserve">4</t>
  </si>
  <si>
    <t xml:space="preserve">Power per unit (MW)</t>
  </si>
  <si>
    <t xml:space="preserve">50</t>
  </si>
  <si>
    <t xml:space="preserve">Energy per unit (MWh)</t>
  </si>
  <si>
    <t xml:space="preserve">Round-trip efficiency (%)</t>
  </si>
  <si>
    <t xml:space="preserve">90</t>
  </si>
  <si>
    <t xml:space="preserve">Starting state of charge (%)</t>
  </si>
  <si>
    <t xml:space="preserve">One battery per node?</t>
  </si>
  <si>
    <t xml:space="preserve">yes</t>
  </si>
  <si>
    <t xml:space="preserve">SCENARIO ALIGNMENT</t>
  </si>
  <si>
    <t xml:space="preserve">Contingency: which generator is tripped?</t>
  </si>
  <si>
    <t xml:space="preserve">pending</t>
  </si>
  <si>
    <t xml:space="preserve">Must be the SAME unit in both models</t>
  </si>
  <si>
    <t xml:space="preserve">Weather: load scaling factor</t>
  </si>
  <si>
    <t xml:space="preserve">Same multiplier in both models</t>
  </si>
  <si>
    <t xml:space="preserve">PLEXOS COST ADJUSTMENTS (Andrew only)</t>
  </si>
  <si>
    <t xml:space="preserve">Discount rate stripped out?</t>
  </si>
  <si>
    <t xml:space="preserve">Tax rate stripped out?</t>
  </si>
  <si>
    <t xml:space="preserve">Battery capital cost excluded from total?</t>
  </si>
  <si>
    <t xml:space="preserve">RESULTS  —  Do the methods agree on where the batteries go?</t>
  </si>
  <si>
    <t xml:space="preserve">BASE CASE  (all generators available)</t>
  </si>
  <si>
    <t xml:space="preserve">Metric</t>
  </si>
  <si>
    <t xml:space="preserve">Quantum VQA</t>
  </si>
  <si>
    <t xml:space="preserve">No-Storage</t>
  </si>
  <si>
    <t xml:space="preserve">Selected buses (e.g. 2, 4, 6, 7)</t>
  </si>
  <si>
    <t xml:space="preserve">2,4,6,7</t>
  </si>
  <si>
    <t xml:space="preserve">N/A</t>
  </si>
  <si>
    <t xml:space="preserve">Total dispatch cost ($)</t>
  </si>
  <si>
    <t xml:space="preserve">Gap vs. classical optimum (%)</t>
  </si>
  <si>
    <t xml:space="preserve">0% = found the optimum</t>
  </si>
  <si>
    <t xml:space="preserve">Runtime</t>
  </si>
  <si>
    <t xml:space="preserve">~2 min</t>
  </si>
  <si>
    <t xml:space="preserve">1 s</t>
  </si>
  <si>
    <t xml:space="preserve">CONTINGENCY CASE  (generator tripped — same unit both models)</t>
  </si>
  <si>
    <t xml:space="preserve">MODELING ASSUMPTIONS </t>
  </si>
  <si>
    <t xml:space="preserve">Assumption</t>
  </si>
  <si>
    <t xml:space="preserve">What We Assumed</t>
  </si>
  <si>
    <t xml:space="preserve">Test system</t>
  </si>
  <si>
    <t xml:space="preserve">IEEE 14-bus.  </t>
  </si>
  <si>
    <t xml:space="preserve">Power flow</t>
  </si>
  <si>
    <t xml:space="preserve">INPUT NEEDED</t>
  </si>
  <si>
    <t xml:space="preserve">Generator costs</t>
  </si>
  <si>
    <t xml:space="preserve">Linear cost functions. Cheap units at $20/MWh, expensive units at $40/MWh.</t>
  </si>
  <si>
    <t xml:space="preserve">Line limits</t>
  </si>
  <si>
    <t xml:space="preserve">Tightened from the unlimited case14 defaults to create meaningful congestion (transformers 4-9 and 5-6 are the key bottlenecks).</t>
  </si>
  <si>
    <t xml:space="preserve">Data center load</t>
  </si>
  <si>
    <t xml:space="preserve">200 MW flat load added at a single bus. Training-cycle and cooling variability referenced as future work, not modeled.</t>
  </si>
  <si>
    <t xml:space="preserve">Batteries</t>
  </si>
  <si>
    <t xml:space="preserve">4 units, 50 MW / 200 MWh each, 90% round-trip efficiency. </t>
  </si>
  <si>
    <t xml:space="preserve">Time horizon</t>
  </si>
  <si>
    <t xml:space="preserve">24-hour dispatch (Phase 2) extended to one week for Phase 3. Load pattern repeats daily.</t>
  </si>
  <si>
    <t xml:space="preserve">Contingency</t>
  </si>
  <si>
    <t xml:space="preserve">Weather scenario</t>
  </si>
  <si>
    <t xml:space="preserve">Ancillary services</t>
  </si>
  <si>
    <t xml:space="preserve">Not modeled. The DC model has no frequency, so ancillary markets are referenced as future work only.</t>
  </si>
  <si>
    <t xml:space="preserve">Slack bus</t>
  </si>
  <si>
    <t xml:space="preserve">Plexos uses bus 1 as the defined slack bus. </t>
  </si>
  <si>
    <t xml:space="preserve">Plexos cost basis</t>
  </si>
  <si>
    <t xml:space="preserve">Discount rate, tax rate, and placeholder battery capital cost stripped from Plexos totals so dispatch costs are directly comparable. PLEASE VERIFY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</si>
</sst>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sz val="10"/>
      <color rgb="FF006D77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222222"/>
      <name val="Arial"/>
      <family val="2"/>
      <charset val="1"/>
    </font>
    <font>
      <sz val="11"/>
      <color rgb="FF0000FF"/>
      <name val="Arial"/>
      <family val="2"/>
      <charset val="1"/>
    </font>
    <font>
      <b val="true"/>
      <sz val="11"/>
      <color rgb="FF222222"/>
      <name val="Arial"/>
      <family val="2"/>
      <charset val="1"/>
    </font>
    <font>
      <strike val="true"/>
      <sz val="10"/>
      <color rgb="FF8B1A1A"/>
      <name val="Arial"/>
      <family val="2"/>
      <charset val="1"/>
    </font>
    <font>
      <sz val="10"/>
      <color rgb="FF8B1A1A"/>
      <name val="Arial"/>
      <family val="2"/>
      <charset val="1"/>
    </font>
    <font>
      <sz val="10"/>
      <color rgb="FF555555"/>
      <name val="Arial"/>
      <family val="2"/>
      <charset val="1"/>
    </font>
    <font>
      <sz val="10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D1F3C"/>
        <bgColor rgb="FF222222"/>
      </patternFill>
    </fill>
    <fill>
      <patternFill patternType="solid">
        <fgColor rgb="FFE8F4F5"/>
        <bgColor rgb="FFE8F5EE"/>
      </patternFill>
    </fill>
    <fill>
      <patternFill patternType="solid">
        <fgColor rgb="FF006D77"/>
        <bgColor rgb="FF1A7A4A"/>
      </patternFill>
    </fill>
    <fill>
      <patternFill patternType="solid">
        <fgColor rgb="FFFFFFFF"/>
        <bgColor rgb="FFF5F5F5"/>
      </patternFill>
    </fill>
    <fill>
      <patternFill patternType="solid">
        <fgColor rgb="FFFDF0F0"/>
        <bgColor rgb="FFF5F5F5"/>
      </patternFill>
    </fill>
    <fill>
      <patternFill patternType="solid">
        <fgColor rgb="FFF5F5F5"/>
        <bgColor rgb="FFFD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A7A4A"/>
        <sz val="11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8B1A1A"/>
        <sz val="11"/>
      </font>
      <fill>
        <patternFill>
          <bgColor rgb="FFFDF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D77"/>
      <rgbColor rgb="FFCCCCCC"/>
      <rgbColor rgb="FF808080"/>
      <rgbColor rgb="FF9999FF"/>
      <rgbColor rgb="FF993366"/>
      <rgbColor rgb="FFF5F5F5"/>
      <rgbColor rgb="FFE8F4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8F5EE"/>
      <rgbColor rgb="FFCCFFCC"/>
      <rgbColor rgb="FFFD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1F3C"/>
      <rgbColor rgb="FF339966"/>
      <rgbColor rgb="FF003300"/>
      <rgbColor rgb="FF333300"/>
      <rgbColor rgb="FF8B1A1A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0" ySplit="3" topLeftCell="A25" activePane="bottomLeft" state="frozen"/>
      <selection pane="topLeft" activeCell="A1" activeCellId="0" sqref="A1"/>
      <selection pane="bottomLeft" activeCell="B34" activeCellId="0" sqref="B34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true" outlineLevel="0" collapsed="false">
      <c r="A2" s="2"/>
      <c r="B2" s="2"/>
      <c r="C2" s="2"/>
      <c r="D2" s="2"/>
      <c r="E2" s="2"/>
    </row>
    <row r="3" customFormat="false" ht="25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21.75" hidden="false" customHeight="true" outlineLevel="0" collapsed="false">
      <c r="A4" s="4" t="s">
        <v>6</v>
      </c>
      <c r="B4" s="4"/>
      <c r="C4" s="4"/>
      <c r="D4" s="4"/>
      <c r="E4" s="4"/>
    </row>
    <row r="5" customFormat="false" ht="23.85" hidden="false" customHeight="false" outlineLevel="0" collapsed="false">
      <c r="A5" s="5" t="s">
        <v>7</v>
      </c>
      <c r="B5" s="6" t="n">
        <v>4</v>
      </c>
      <c r="C5" s="6"/>
      <c r="D5" s="7" t="str">
        <f aca="false">IF(OR(B5="",C5=""),"—",IF(B5=C5,"MATCH","CHECK"))</f>
        <v>—</v>
      </c>
      <c r="E5" s="8" t="s">
        <v>8</v>
      </c>
    </row>
    <row r="6" customFormat="false" ht="15" hidden="false" customHeight="false" outlineLevel="0" collapsed="false">
      <c r="A6" s="5" t="s">
        <v>9</v>
      </c>
      <c r="B6" s="6" t="n">
        <v>200</v>
      </c>
      <c r="C6" s="6"/>
      <c r="D6" s="7" t="str">
        <f aca="false">IF(OR(B6="",C6=""),"—",IF(B6=C6,"MATCH","CHECK"))</f>
        <v>—</v>
      </c>
      <c r="E6" s="9" t="s">
        <v>10</v>
      </c>
    </row>
    <row r="7" customFormat="false" ht="15" hidden="false" customHeight="false" outlineLevel="0" collapsed="false">
      <c r="A7" s="5" t="s">
        <v>11</v>
      </c>
      <c r="B7" s="6" t="n">
        <v>24</v>
      </c>
      <c r="C7" s="6"/>
      <c r="D7" s="7" t="str">
        <f aca="false">IF(OR(B7="",C7=""),"—",IF(B7=C7,"MATCH","CHECK"))</f>
        <v>—</v>
      </c>
      <c r="E7" s="9" t="n">
        <v>24</v>
      </c>
    </row>
    <row r="8" customFormat="false" ht="15" hidden="false" customHeight="false" outlineLevel="0" collapsed="false">
      <c r="A8" s="5" t="s">
        <v>12</v>
      </c>
      <c r="B8" s="6" t="s">
        <v>13</v>
      </c>
      <c r="C8" s="6"/>
      <c r="D8" s="7" t="str">
        <f aca="false">IF(OR(B8="",C8=""),"—",IF(B8=C8,"MATCH","CHECK"))</f>
        <v>—</v>
      </c>
      <c r="E8" s="9" t="s">
        <v>14</v>
      </c>
    </row>
    <row r="9" customFormat="false" ht="15" hidden="false" customHeight="false" outlineLevel="0" collapsed="false">
      <c r="A9" s="5" t="s">
        <v>15</v>
      </c>
      <c r="B9" s="6" t="s">
        <v>16</v>
      </c>
      <c r="C9" s="6"/>
      <c r="D9" s="7" t="str">
        <f aca="false">IF(OR(B9="",C9=""),"—",IF(B9=C9,"MATCH","CHECK"))</f>
        <v>—</v>
      </c>
      <c r="E9" s="9"/>
    </row>
    <row r="10" customFormat="false" ht="21.75" hidden="false" customHeight="true" outlineLevel="0" collapsed="false">
      <c r="A10" s="4" t="s">
        <v>17</v>
      </c>
      <c r="B10" s="4"/>
      <c r="C10" s="4"/>
      <c r="D10" s="4"/>
      <c r="E10" s="4"/>
    </row>
    <row r="11" customFormat="false" ht="15" hidden="false" customHeight="false" outlineLevel="0" collapsed="false">
      <c r="A11" s="5" t="s">
        <v>18</v>
      </c>
      <c r="B11" s="6" t="n">
        <v>20</v>
      </c>
      <c r="C11" s="6"/>
      <c r="D11" s="7" t="str">
        <f aca="false">IF(OR(B11="",C11=""),"—",IF(B11=C11,"MATCH","CHECK"))</f>
        <v>—</v>
      </c>
      <c r="E11" s="9" t="s">
        <v>19</v>
      </c>
    </row>
    <row r="12" customFormat="false" ht="15" hidden="false" customHeight="false" outlineLevel="0" collapsed="false">
      <c r="A12" s="5" t="s">
        <v>20</v>
      </c>
      <c r="B12" s="6" t="n">
        <v>20</v>
      </c>
      <c r="C12" s="6"/>
      <c r="D12" s="7" t="str">
        <f aca="false">IF(OR(B12="",C12=""),"—",IF(B12=C12,"MATCH","CHECK"))</f>
        <v>—</v>
      </c>
      <c r="E12" s="9" t="s">
        <v>19</v>
      </c>
    </row>
    <row r="13" customFormat="false" ht="15" hidden="false" customHeight="false" outlineLevel="0" collapsed="false">
      <c r="A13" s="5" t="s">
        <v>21</v>
      </c>
      <c r="B13" s="6" t="n">
        <v>40</v>
      </c>
      <c r="C13" s="6"/>
      <c r="D13" s="7" t="str">
        <f aca="false">IF(OR(B13="",C13=""),"—",IF(B13=C13,"MATCH","CHECK"))</f>
        <v>—</v>
      </c>
      <c r="E13" s="9" t="s">
        <v>22</v>
      </c>
    </row>
    <row r="14" customFormat="false" ht="15" hidden="false" customHeight="false" outlineLevel="0" collapsed="false">
      <c r="A14" s="5" t="s">
        <v>23</v>
      </c>
      <c r="B14" s="6" t="n">
        <v>40</v>
      </c>
      <c r="C14" s="6"/>
      <c r="D14" s="7" t="str">
        <f aca="false">IF(OR(B14="",C14=""),"—",IF(B14=C14,"MATCH","CHECK"))</f>
        <v>—</v>
      </c>
      <c r="E14" s="9" t="s">
        <v>24</v>
      </c>
    </row>
    <row r="15" customFormat="false" ht="15" hidden="false" customHeight="false" outlineLevel="0" collapsed="false">
      <c r="A15" s="5" t="s">
        <v>25</v>
      </c>
      <c r="B15" s="6" t="n">
        <v>40</v>
      </c>
      <c r="C15" s="6"/>
      <c r="D15" s="7" t="str">
        <f aca="false">IF(OR(B15="",C15=""),"—",IF(B15=C15,"MATCH","CHECK"))</f>
        <v>—</v>
      </c>
      <c r="E15" s="9" t="s">
        <v>24</v>
      </c>
    </row>
    <row r="16" customFormat="false" ht="15" hidden="false" customHeight="false" outlineLevel="0" collapsed="false">
      <c r="A16" s="5" t="s">
        <v>26</v>
      </c>
      <c r="B16" s="10"/>
      <c r="C16" s="10"/>
      <c r="D16" s="11"/>
      <c r="E16" s="9" t="s">
        <v>27</v>
      </c>
    </row>
    <row r="17" customFormat="false" ht="21.75" hidden="false" customHeight="true" outlineLevel="0" collapsed="false">
      <c r="A17" s="4" t="s">
        <v>28</v>
      </c>
      <c r="B17" s="4"/>
      <c r="C17" s="4"/>
      <c r="D17" s="4"/>
      <c r="E17" s="4"/>
    </row>
    <row r="18" customFormat="false" ht="15" hidden="false" customHeight="false" outlineLevel="0" collapsed="false">
      <c r="A18" s="5" t="s">
        <v>29</v>
      </c>
      <c r="B18" s="6" t="n">
        <v>40</v>
      </c>
      <c r="C18" s="6"/>
      <c r="D18" s="7" t="str">
        <f aca="false">IF(OR(B18="",C18=""),"—",IF(B18=C18,"MATCH","CHECK"))</f>
        <v>—</v>
      </c>
      <c r="E18" s="9" t="s">
        <v>30</v>
      </c>
    </row>
    <row r="19" customFormat="false" ht="15" hidden="false" customHeight="false" outlineLevel="0" collapsed="false">
      <c r="A19" s="5" t="s">
        <v>31</v>
      </c>
      <c r="B19" s="6" t="n">
        <v>80</v>
      </c>
      <c r="C19" s="6"/>
      <c r="D19" s="7" t="str">
        <f aca="false">IF(OR(B19="",C19=""),"—",IF(B19=C19,"MATCH","CHECK"))</f>
        <v>—</v>
      </c>
      <c r="E19" s="9" t="s">
        <v>32</v>
      </c>
    </row>
    <row r="20" customFormat="false" ht="15" hidden="false" customHeight="false" outlineLevel="0" collapsed="false">
      <c r="A20" s="5" t="s">
        <v>33</v>
      </c>
      <c r="B20" s="6" t="n">
        <v>80</v>
      </c>
      <c r="C20" s="6"/>
      <c r="D20" s="7" t="str">
        <f aca="false">IF(OR(B20="",C20=""),"—",IF(B20=C20,"MATCH","CHECK"))</f>
        <v>—</v>
      </c>
      <c r="E20" s="9"/>
    </row>
    <row r="21" customFormat="false" ht="15" hidden="false" customHeight="false" outlineLevel="0" collapsed="false">
      <c r="A21" s="5" t="s">
        <v>34</v>
      </c>
      <c r="B21" s="10"/>
      <c r="C21" s="10"/>
      <c r="D21" s="11"/>
      <c r="E21" s="9" t="s">
        <v>35</v>
      </c>
    </row>
    <row r="22" customFormat="false" ht="21.75" hidden="false" customHeight="true" outlineLevel="0" collapsed="false">
      <c r="A22" s="4" t="s">
        <v>36</v>
      </c>
      <c r="B22" s="4"/>
      <c r="C22" s="4"/>
      <c r="D22" s="4"/>
      <c r="E22" s="4"/>
    </row>
    <row r="23" customFormat="false" ht="15" hidden="false" customHeight="false" outlineLevel="0" collapsed="false">
      <c r="A23" s="5" t="s">
        <v>37</v>
      </c>
      <c r="B23" s="6" t="n">
        <v>4</v>
      </c>
      <c r="C23" s="6"/>
      <c r="D23" s="7" t="str">
        <f aca="false">IF(OR(B23="",C23=""),"—",IF(B23=C23,"MATCH","CHECK"))</f>
        <v>—</v>
      </c>
      <c r="E23" s="9" t="s">
        <v>38</v>
      </c>
    </row>
    <row r="24" customFormat="false" ht="15" hidden="false" customHeight="false" outlineLevel="0" collapsed="false">
      <c r="A24" s="5" t="s">
        <v>39</v>
      </c>
      <c r="B24" s="6" t="n">
        <v>50</v>
      </c>
      <c r="C24" s="6"/>
      <c r="D24" s="7" t="str">
        <f aca="false">IF(OR(B24="",C24=""),"—",IF(B24=C24,"MATCH","CHECK"))</f>
        <v>—</v>
      </c>
      <c r="E24" s="9" t="s">
        <v>40</v>
      </c>
    </row>
    <row r="25" customFormat="false" ht="15" hidden="false" customHeight="false" outlineLevel="0" collapsed="false">
      <c r="A25" s="5" t="s">
        <v>41</v>
      </c>
      <c r="B25" s="6" t="n">
        <v>200</v>
      </c>
      <c r="C25" s="6"/>
      <c r="D25" s="7" t="str">
        <f aca="false">IF(OR(B25="",C25=""),"—",IF(B25=C25,"MATCH","CHECK"))</f>
        <v>—</v>
      </c>
      <c r="E25" s="9" t="s">
        <v>10</v>
      </c>
    </row>
    <row r="26" customFormat="false" ht="15" hidden="false" customHeight="false" outlineLevel="0" collapsed="false">
      <c r="A26" s="5" t="s">
        <v>42</v>
      </c>
      <c r="B26" s="6" t="n">
        <v>90</v>
      </c>
      <c r="C26" s="6"/>
      <c r="D26" s="7" t="str">
        <f aca="false">IF(OR(B26="",C26=""),"—",IF(B26=C26,"MATCH","CHECK"))</f>
        <v>—</v>
      </c>
      <c r="E26" s="9" t="s">
        <v>43</v>
      </c>
    </row>
    <row r="27" customFormat="false" ht="15" hidden="false" customHeight="false" outlineLevel="0" collapsed="false">
      <c r="A27" s="5" t="s">
        <v>44</v>
      </c>
      <c r="B27" s="6" t="n">
        <v>90</v>
      </c>
      <c r="C27" s="6"/>
      <c r="D27" s="7" t="str">
        <f aca="false">IF(OR(B27="",C27=""),"—",IF(B27=C27,"MATCH","CHECK"))</f>
        <v>—</v>
      </c>
      <c r="E27" s="9" t="s">
        <v>43</v>
      </c>
    </row>
    <row r="28" customFormat="false" ht="15" hidden="false" customHeight="false" outlineLevel="0" collapsed="false">
      <c r="A28" s="5" t="s">
        <v>45</v>
      </c>
      <c r="B28" s="6" t="s">
        <v>46</v>
      </c>
      <c r="C28" s="6"/>
      <c r="D28" s="7" t="str">
        <f aca="false">IF(OR(B28="",C28=""),"—",IF(B28=C28,"MATCH","CHECK"))</f>
        <v>—</v>
      </c>
      <c r="E28" s="9"/>
    </row>
    <row r="29" customFormat="false" ht="21.75" hidden="false" customHeight="true" outlineLevel="0" collapsed="false">
      <c r="A29" s="4" t="s">
        <v>47</v>
      </c>
      <c r="B29" s="4"/>
      <c r="C29" s="4"/>
      <c r="D29" s="4"/>
      <c r="E29" s="4"/>
    </row>
    <row r="30" customFormat="false" ht="15" hidden="false" customHeight="false" outlineLevel="0" collapsed="false">
      <c r="A30" s="5" t="s">
        <v>48</v>
      </c>
      <c r="B30" s="6" t="s">
        <v>49</v>
      </c>
      <c r="C30" s="6"/>
      <c r="D30" s="7" t="str">
        <f aca="false">IF(OR(B30="",C30=""),"—",IF(B30=C30,"MATCH","CHECK"))</f>
        <v>—</v>
      </c>
      <c r="E30" s="12" t="s">
        <v>50</v>
      </c>
    </row>
    <row r="31" customFormat="false" ht="15" hidden="false" customHeight="false" outlineLevel="0" collapsed="false">
      <c r="A31" s="5" t="s">
        <v>51</v>
      </c>
      <c r="B31" s="6" t="s">
        <v>49</v>
      </c>
      <c r="C31" s="6"/>
      <c r="D31" s="7" t="str">
        <f aca="false">IF(OR(B31="",C31=""),"—",IF(B31=C31,"MATCH","CHECK"))</f>
        <v>—</v>
      </c>
      <c r="E31" s="9" t="s">
        <v>52</v>
      </c>
    </row>
    <row r="32" customFormat="false" ht="21.75" hidden="false" customHeight="true" outlineLevel="0" collapsed="false">
      <c r="A32" s="4" t="s">
        <v>53</v>
      </c>
      <c r="B32" s="4"/>
      <c r="C32" s="4"/>
      <c r="D32" s="4"/>
      <c r="E32" s="4"/>
    </row>
    <row r="33" customFormat="false" ht="15" hidden="false" customHeight="false" outlineLevel="0" collapsed="false">
      <c r="A33" s="5" t="s">
        <v>54</v>
      </c>
      <c r="B33" s="6"/>
      <c r="C33" s="6"/>
      <c r="D33" s="7" t="str">
        <f aca="false">IF(OR(B33="",C33=""),"—",IF(B33=C33,"MATCH","CHECK"))</f>
        <v>—</v>
      </c>
      <c r="E33" s="9"/>
    </row>
    <row r="34" customFormat="false" ht="15" hidden="false" customHeight="false" outlineLevel="0" collapsed="false">
      <c r="A34" s="5" t="s">
        <v>55</v>
      </c>
      <c r="B34" s="6"/>
      <c r="C34" s="6"/>
      <c r="D34" s="7" t="str">
        <f aca="false">IF(OR(B34="",C34=""),"—",IF(B34=C34,"MATCH","CHECK"))</f>
        <v>—</v>
      </c>
      <c r="E34" s="9"/>
    </row>
    <row r="35" customFormat="false" ht="15" hidden="false" customHeight="false" outlineLevel="0" collapsed="false">
      <c r="A35" s="5" t="s">
        <v>56</v>
      </c>
      <c r="B35" s="6"/>
      <c r="C35" s="6"/>
      <c r="D35" s="7" t="str">
        <f aca="false">IF(OR(B35="",C35=""),"—",IF(B35=C35,"MATCH","CHECK"))</f>
        <v>—</v>
      </c>
      <c r="E35" s="9"/>
    </row>
  </sheetData>
  <mergeCells count="10">
    <mergeCell ref="A1:E1"/>
    <mergeCell ref="A2:E2"/>
    <mergeCell ref="A4:E4"/>
    <mergeCell ref="A10:E10"/>
    <mergeCell ref="B16:C16"/>
    <mergeCell ref="A17:E17"/>
    <mergeCell ref="B21:C21"/>
    <mergeCell ref="A22:E22"/>
    <mergeCell ref="A29:E29"/>
    <mergeCell ref="A32:E32"/>
  </mergeCells>
  <conditionalFormatting sqref="D18:D35 D4:D15">
    <cfRule type="expression" priority="2" aboveAverage="0" equalAverage="0" bottom="0" percent="0" rank="0" text="" dxfId="0">
      <formula>D4="MATCH"</formula>
    </cfRule>
    <cfRule type="expression" priority="3" aboveAverage="0" equalAverage="0" bottom="0" percent="0" rank="0" text="" dxfId="1">
      <formula>D4="CHECK"</formula>
    </cfRule>
  </conditionalFormatting>
  <conditionalFormatting sqref="D16:D17">
    <cfRule type="expression" priority="4" aboveAverage="0" equalAverage="0" bottom="0" percent="0" rank="0" text="" dxfId="0">
      <formula>D16="MATCH"</formula>
    </cfRule>
    <cfRule type="expression" priority="5" aboveAverage="0" equalAverage="0" bottom="0" percent="0" rank="0" text="" dxfId="1">
      <formula>D16="CHECK"</formula>
    </cfRule>
  </conditionalFormatting>
  <dataValidations count="2">
    <dataValidation allowBlank="true" errorStyle="stop" operator="between" showDropDown="false" showErrorMessage="false" showInputMessage="false" sqref="B9:C9 B28:C28 B33:C35" type="list">
      <formula1>"Yes,No"</formula1>
      <formula2>0</formula2>
    </dataValidation>
    <dataValidation allowBlank="true" errorStyle="stop" operator="between" showDropDown="false" showErrorMessage="false" showInputMessage="false" sqref="B16 B21" type="list">
      <formula1>"Verified,Not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2" topLeftCell="A3" activePane="bottomLeft" state="frozen"/>
      <selection pane="topLeft" activeCell="A1" activeCellId="0" sqref="A1"/>
      <selection pane="bottomLeft" activeCell="B8" activeCellId="0" sqref="B8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1" t="s">
        <v>57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4" t="s">
        <v>58</v>
      </c>
      <c r="B3" s="4"/>
      <c r="C3" s="4"/>
      <c r="D3" s="4"/>
      <c r="E3" s="4"/>
      <c r="F3" s="4"/>
    </row>
    <row r="4" customFormat="false" ht="24" hidden="false" customHeight="true" outlineLevel="0" collapsed="false">
      <c r="A4" s="3" t="s">
        <v>59</v>
      </c>
      <c r="B4" s="3" t="s">
        <v>2</v>
      </c>
      <c r="C4" s="3" t="s">
        <v>60</v>
      </c>
      <c r="D4" s="3" t="s">
        <v>3</v>
      </c>
      <c r="E4" s="3" t="s">
        <v>61</v>
      </c>
      <c r="F4" s="3" t="s">
        <v>5</v>
      </c>
    </row>
    <row r="5" customFormat="false" ht="15" hidden="false" customHeight="false" outlineLevel="0" collapsed="false">
      <c r="A5" s="5" t="s">
        <v>62</v>
      </c>
      <c r="B5" s="6" t="s">
        <v>63</v>
      </c>
      <c r="C5" s="6"/>
      <c r="D5" s="6"/>
      <c r="E5" s="11" t="s">
        <v>64</v>
      </c>
      <c r="F5" s="9"/>
    </row>
    <row r="6" customFormat="false" ht="15" hidden="false" customHeight="false" outlineLevel="0" collapsed="false">
      <c r="A6" s="5" t="s">
        <v>65</v>
      </c>
      <c r="B6" s="6" t="n">
        <v>199804</v>
      </c>
      <c r="C6" s="6"/>
      <c r="D6" s="6"/>
      <c r="E6" s="13" t="n">
        <v>228429</v>
      </c>
      <c r="F6" s="9"/>
    </row>
    <row r="7" customFormat="false" ht="15" hidden="false" customHeight="false" outlineLevel="0" collapsed="false">
      <c r="A7" s="5" t="s">
        <v>66</v>
      </c>
      <c r="B7" s="6" t="n">
        <v>0</v>
      </c>
      <c r="C7" s="6"/>
      <c r="D7" s="6"/>
      <c r="E7" s="11" t="s">
        <v>64</v>
      </c>
      <c r="F7" s="9" t="s">
        <v>67</v>
      </c>
    </row>
    <row r="8" customFormat="false" ht="15" hidden="false" customHeight="false" outlineLevel="0" collapsed="false">
      <c r="A8" s="5" t="s">
        <v>68</v>
      </c>
      <c r="B8" s="6" t="s">
        <v>69</v>
      </c>
      <c r="C8" s="6"/>
      <c r="D8" s="6"/>
      <c r="E8" s="13" t="s">
        <v>70</v>
      </c>
      <c r="F8" s="9"/>
    </row>
    <row r="10" customFormat="false" ht="21.75" hidden="false" customHeight="true" outlineLevel="0" collapsed="false">
      <c r="A10" s="4" t="s">
        <v>71</v>
      </c>
      <c r="B10" s="4"/>
      <c r="C10" s="4"/>
      <c r="D10" s="4"/>
      <c r="E10" s="4"/>
      <c r="F10" s="4"/>
    </row>
    <row r="11" customFormat="false" ht="24" hidden="false" customHeight="true" outlineLevel="0" collapsed="false">
      <c r="A11" s="3" t="s">
        <v>59</v>
      </c>
      <c r="B11" s="3" t="s">
        <v>2</v>
      </c>
      <c r="C11" s="3" t="s">
        <v>60</v>
      </c>
      <c r="D11" s="3" t="s">
        <v>3</v>
      </c>
      <c r="E11" s="3" t="s">
        <v>61</v>
      </c>
      <c r="F11" s="3" t="s">
        <v>5</v>
      </c>
    </row>
    <row r="12" customFormat="false" ht="15" hidden="false" customHeight="false" outlineLevel="0" collapsed="false">
      <c r="A12" s="5" t="s">
        <v>62</v>
      </c>
      <c r="B12" s="6"/>
      <c r="C12" s="6"/>
      <c r="D12" s="6"/>
      <c r="E12" s="11" t="s">
        <v>64</v>
      </c>
      <c r="F12" s="9"/>
    </row>
    <row r="13" customFormat="false" ht="15" hidden="false" customHeight="false" outlineLevel="0" collapsed="false">
      <c r="A13" s="5" t="s">
        <v>65</v>
      </c>
      <c r="B13" s="6"/>
      <c r="C13" s="6"/>
      <c r="D13" s="6"/>
      <c r="E13" s="13"/>
      <c r="F13" s="9"/>
    </row>
    <row r="14" customFormat="false" ht="15" hidden="false" customHeight="false" outlineLevel="0" collapsed="false">
      <c r="A14" s="5" t="s">
        <v>66</v>
      </c>
      <c r="B14" s="6"/>
      <c r="C14" s="6"/>
      <c r="D14" s="6"/>
      <c r="E14" s="11" t="s">
        <v>64</v>
      </c>
      <c r="F14" s="9" t="s">
        <v>67</v>
      </c>
    </row>
    <row r="15" customFormat="false" ht="15" hidden="false" customHeight="false" outlineLevel="0" collapsed="false">
      <c r="A15" s="5" t="s">
        <v>68</v>
      </c>
      <c r="B15" s="6"/>
      <c r="C15" s="6"/>
      <c r="D15" s="6"/>
      <c r="E15" s="13"/>
      <c r="F15" s="9"/>
    </row>
  </sheetData>
  <mergeCells count="4">
    <mergeCell ref="A1:F1"/>
    <mergeCell ref="A2:F2"/>
    <mergeCell ref="A3:F3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3" topLeftCell="A11" activePane="bottomLeft" state="frozen"/>
      <selection pane="topLeft" activeCell="A1" activeCellId="0" sqref="A1"/>
      <selection pane="bottomLeft" activeCell="A12" activeCellId="0" sqref="A12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31.5" hidden="false" customHeight="true" outlineLevel="0" collapsed="false">
      <c r="A1" s="1" t="s">
        <v>72</v>
      </c>
      <c r="B1" s="1"/>
    </row>
    <row r="2" customFormat="false" ht="24" hidden="false" customHeight="true" outlineLevel="0" collapsed="false">
      <c r="A2" s="2"/>
      <c r="B2" s="2"/>
    </row>
    <row r="3" customFormat="false" ht="24" hidden="false" customHeight="true" outlineLevel="0" collapsed="false">
      <c r="A3" s="3" t="s">
        <v>73</v>
      </c>
      <c r="B3" s="3" t="s">
        <v>74</v>
      </c>
    </row>
    <row r="4" customFormat="false" ht="43.5" hidden="false" customHeight="true" outlineLevel="0" collapsed="false">
      <c r="A4" s="14" t="s">
        <v>75</v>
      </c>
      <c r="B4" s="15" t="s">
        <v>76</v>
      </c>
    </row>
    <row r="5" customFormat="false" ht="43.5" hidden="false" customHeight="true" outlineLevel="0" collapsed="false">
      <c r="A5" s="16" t="s">
        <v>77</v>
      </c>
      <c r="B5" s="5" t="s">
        <v>78</v>
      </c>
    </row>
    <row r="6" customFormat="false" ht="43.5" hidden="false" customHeight="true" outlineLevel="0" collapsed="false">
      <c r="A6" s="14" t="s">
        <v>79</v>
      </c>
      <c r="B6" s="15" t="s">
        <v>80</v>
      </c>
    </row>
    <row r="7" customFormat="false" ht="43.5" hidden="false" customHeight="true" outlineLevel="0" collapsed="false">
      <c r="A7" s="16" t="s">
        <v>81</v>
      </c>
      <c r="B7" s="5" t="s">
        <v>82</v>
      </c>
    </row>
    <row r="8" customFormat="false" ht="43.5" hidden="false" customHeight="true" outlineLevel="0" collapsed="false">
      <c r="A8" s="14" t="s">
        <v>83</v>
      </c>
      <c r="B8" s="15" t="s">
        <v>84</v>
      </c>
    </row>
    <row r="9" customFormat="false" ht="43.5" hidden="false" customHeight="true" outlineLevel="0" collapsed="false">
      <c r="A9" s="16" t="s">
        <v>85</v>
      </c>
      <c r="B9" s="5" t="s">
        <v>86</v>
      </c>
    </row>
    <row r="10" customFormat="false" ht="43.5" hidden="false" customHeight="true" outlineLevel="0" collapsed="false">
      <c r="A10" s="14" t="s">
        <v>87</v>
      </c>
      <c r="B10" s="15" t="s">
        <v>88</v>
      </c>
    </row>
    <row r="11" customFormat="false" ht="43.5" hidden="false" customHeight="true" outlineLevel="0" collapsed="false">
      <c r="A11" s="16" t="s">
        <v>89</v>
      </c>
      <c r="B11" s="5" t="s">
        <v>78</v>
      </c>
    </row>
    <row r="12" customFormat="false" ht="43.5" hidden="false" customHeight="true" outlineLevel="0" collapsed="false">
      <c r="A12" s="14" t="s">
        <v>90</v>
      </c>
      <c r="B12" s="15" t="s">
        <v>78</v>
      </c>
    </row>
    <row r="13" customFormat="false" ht="43.5" hidden="false" customHeight="true" outlineLevel="0" collapsed="false">
      <c r="A13" s="16" t="s">
        <v>91</v>
      </c>
      <c r="B13" s="5" t="s">
        <v>92</v>
      </c>
    </row>
    <row r="14" customFormat="false" ht="43.5" hidden="false" customHeight="true" outlineLevel="0" collapsed="false">
      <c r="A14" s="14" t="s">
        <v>93</v>
      </c>
      <c r="B14" s="15" t="s">
        <v>94</v>
      </c>
    </row>
    <row r="15" customFormat="false" ht="43.5" hidden="false" customHeight="true" outlineLevel="0" collapsed="false">
      <c r="A15" s="16" t="s">
        <v>95</v>
      </c>
      <c r="B15" s="5" t="s">
        <v>96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2026-07-10T00:37:23Z</dcterms:created>
  <dc:creator>Jacquay Henderson</dc:creator>
  <dc:description/>
  <dc:language>en-US</dc:language>
  <cp:lastModifiedBy/>
  <dcterms:modified xsi:type="dcterms:W3CDTF">2026-07-11T22:22:40Z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